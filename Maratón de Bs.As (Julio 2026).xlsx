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atri\Desktop\IFTS\1ER_AÑO\CUATRI_2\05_PP1_APROXIMACION_AL_DS\CALCURITMO\"/>
    </mc:Choice>
  </mc:AlternateContent>
  <xr:revisionPtr revIDLastSave="0" documentId="13_ncr:1_{E60091DF-1EF2-415F-824C-34F927B7083E}" xr6:coauthVersionLast="47" xr6:coauthVersionMax="47" xr10:uidLastSave="{00000000-0000-0000-0000-000000000000}"/>
  <bookViews>
    <workbookView xWindow="-108" yWindow="-108" windowWidth="23256" windowHeight="12456" tabRatio="500" xr2:uid="{00000000-000D-0000-FFFF-FFFF00000000}"/>
  </bookViews>
  <sheets>
    <sheet name="ENTRENAMIENTO" sheetId="1" r:id="rId1"/>
    <sheet name="REFERENCIAS" sheetId="2" r:id="rId2"/>
    <sheet name="DESCARGAS" sheetId="3" r:id="rId3"/>
    <sheet name="TABLAS DE TIEMPO" sheetId="4" r:id="rId4"/>
    <sheet name="TABLAS DE EQUIVALENCIAS DE DIVE" sheetId="5" r:id="rId5"/>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1" i="1" l="1"/>
  <c r="D20" i="1"/>
</calcChain>
</file>

<file path=xl/sharedStrings.xml><?xml version="1.0" encoding="utf-8"?>
<sst xmlns="http://schemas.openxmlformats.org/spreadsheetml/2006/main" count="294" uniqueCount="242">
  <si>
    <t xml:space="preserve">Corredor: </t>
  </si>
  <si>
    <t>Maratón de Bs.As</t>
  </si>
  <si>
    <t>Fecha de inicio/finalizaciòn:</t>
  </si>
  <si>
    <t>Objetivo:</t>
  </si>
  <si>
    <t>20 de Septiembre de 2026</t>
  </si>
  <si>
    <t>Edad:</t>
  </si>
  <si>
    <t>Localidad:</t>
  </si>
  <si>
    <t>Observaciones:</t>
  </si>
  <si>
    <t>Datos de carrera:</t>
  </si>
  <si>
    <t>*Cuando aparece la palabra montaña o el color verde en el borde superior el trabajo debe realizarse en zona de terreno irregular, blando, pasto, mèdanos, puentes o todo aquellos que NO represente llanura o asfalto.</t>
  </si>
  <si>
    <t>Junio/ Julio</t>
  </si>
  <si>
    <t>Semana</t>
  </si>
  <si>
    <t>Lunes</t>
  </si>
  <si>
    <t xml:space="preserve">Martes </t>
  </si>
  <si>
    <t>Mièrcoles</t>
  </si>
  <si>
    <t xml:space="preserve">Jueves </t>
  </si>
  <si>
    <t>Viernes</t>
  </si>
  <si>
    <t xml:space="preserve">Sàbado </t>
  </si>
  <si>
    <t xml:space="preserve">Domingo </t>
  </si>
  <si>
    <t>E.C 3 km de c.c.s (Z2) + 2 x 3 km de C.C.U en Ritmo Maratón con terreno variado cada 500 mts entre montaña y calle (R Maratón/ PP 2.30 min) + 1 x 2 km de C.C.U alternando terreno cada 1 km en calle y montaña (Ritmo MM) + 2 km de v.c.</t>
  </si>
  <si>
    <t>Fondo de 15 km de C.C.V alternando en relación 3:2 entre C.C.S (Z2) y Ritmo Maratón.</t>
  </si>
  <si>
    <t>Fondo lipolitico de 14 km alternando cada 2 km entre montaña y calle. Siempre se debe mantener la zona de intensidad pautada independientemente del terreno. Habrá fluctuación de RITMO, NO de zona de INTENSIDAD (Z2).</t>
  </si>
  <si>
    <t>E.C 3 km de c.c.s (Z2) + 2 x 20 min de C.C.P en relación 10:5:5 min entre 10 a 15” + lento que el Ritmo Maratón, Ritmo Maratón y 10/15” + rápido que el ritmo Maratón (PP 4 min) + 2 km de v.c.</t>
  </si>
  <si>
    <t>BP 45 min (Z2)</t>
  </si>
  <si>
    <t>E.C 3 km de c.c.s (Z2) + 6 progresiones de 100 mts con PP completa + 3 x 3 km de C.C.U (Ritmo Maratón/ PA de 1 km de C.C.S en Z2) + 2 km de v.c.</t>
  </si>
  <si>
    <t>Descanso</t>
  </si>
  <si>
    <t>E.C 3 km de c.c.s (Z2) + 6 x 1.500 mts de C.C.P. Se realiza el primer km en ritmo maratón en montaña y los últimos 500 mts en ritmo de MM en calle (PP 2 min) + 2 km de v.c.</t>
  </si>
  <si>
    <r>
      <rPr>
        <b/>
        <sz val="11"/>
        <color rgb="FF000000"/>
        <rFont val="Calibri"/>
        <family val="2"/>
        <charset val="1"/>
      </rPr>
      <t xml:space="preserve">Fondo de 16 km de C.C.V alternando cada 4 km entre C.C.S (Z2), Ritmo Maratón, </t>
    </r>
    <r>
      <rPr>
        <b/>
        <sz val="11"/>
        <color rgb="FF000000"/>
        <rFont val="Calibri"/>
        <family val="2"/>
      </rPr>
      <t>C.C.S (Z2) y Ritmo MM.</t>
    </r>
  </si>
  <si>
    <t>Fondo lipolitico de 12 km en montaña (Z2).</t>
  </si>
  <si>
    <t>E.C 3 km de c.c.s (Z2) + 1 x 4 km de C.C.U (Ritmo Maratón/ 2.15 min) + 1 x 2 km de C.C.U (Ritmo MM/ PP 2 min) + 2 x 500 mts de C.C.R (Z5/ PP 1 min) + 2 km de v.c.</t>
  </si>
  <si>
    <t>BP 50 min (Z2)</t>
  </si>
  <si>
    <t>Fondo en calle de 26 km de C.C.P. Se va a realizar el fondo en progresión de ritmo desde Z2 a Z4 con LD de esfuerzo. Idealmente pensar en la estrategia de carrera para el día D :)</t>
  </si>
  <si>
    <t>E.C 3 km de c.c.s (Z2) + 4 x 2 km de C.C.U en ritmo maratón alternando por repetición entre montaña y calle (Ritmo M/ PP 2:15 min) + 2 km de v.c.</t>
  </si>
  <si>
    <t>Fondo de 17 km de C.C.U (Z3).</t>
  </si>
  <si>
    <t>Fondo lipolitico en calle de 14 km de C.C.S (Z2).</t>
  </si>
  <si>
    <t>E.C 3 km de c.c.s (Z2) + 5 x 2 km de C.C.U (Ritmo Maratón/ PA Trote suave 2 min) + 2 km de v.c.</t>
  </si>
  <si>
    <t>E.C 4 km de c.c.s (Z2) + 10 x 1 km de C.C.U (Alternando cada 1 km entre ritmo maratón y ritmo MM/ PP 1:15 min) + 2 km de v.c. Si respetas el ritmo el trabajo será el adecuado y no tan intenso. Trabajar sobre el objetivo de automatizar de ritmo de competencia.</t>
  </si>
  <si>
    <t>E.C 2.5 km de c.c.s (Z2) + 6 activaciones de TP con PP completa + 5 x 1.200 mts de C.C.P realizando 1 km en calle en ritmo maratón + 200 mts finales en montaña en TP (PP 1:50 min) + 2 km de v.c.</t>
  </si>
  <si>
    <t>Fondo lipolitico de 14 km de C.C.S (Z2).</t>
  </si>
  <si>
    <t>Fondo en montaña de 12 km alternando en relación 2:1:1 km entre C.C.S (Z2), Ritmo M y Ritmo MM.</t>
  </si>
  <si>
    <t>E.C 3 km de c.c.s (Z2) + 6 progresiones de 100 mts con PP completa + 8 x 400 mts de C.C.R (Z4 LS/PP 1:10 min)</t>
  </si>
  <si>
    <t>BP 35 min (Z2)</t>
  </si>
  <si>
    <t>Fondo en calle de 18 km de C.C.P con aumento de ritmo cada 6 km. Se comienza 45” + lento que el ritmo maratón, luego se pasa a 15/20” + lento que el RM y por último los 6 km finales en ritmo de comptencia.</t>
  </si>
  <si>
    <t>PB</t>
  </si>
  <si>
    <t xml:space="preserve">10 km: </t>
  </si>
  <si>
    <t>x 2,223</t>
  </si>
  <si>
    <t>10 km x 2,2 = 1/2 maratón</t>
  </si>
  <si>
    <t>21 km:</t>
  </si>
  <si>
    <t>21 km x 2 + 10%</t>
  </si>
  <si>
    <t>1/2 maratón x 2,1 maratón</t>
  </si>
  <si>
    <t>Maratón:</t>
  </si>
  <si>
    <t>Abreviaciones</t>
  </si>
  <si>
    <t>Referencia</t>
  </si>
  <si>
    <t>Concepto</t>
  </si>
  <si>
    <t>Generales</t>
  </si>
  <si>
    <t>E.C/ E.C.G</t>
  </si>
  <si>
    <t>Entrada en calor/ Entrada en calor general</t>
  </si>
  <si>
    <t>Es la adaptaciòn inicial al ejercicio fìsico por medio de actividades de baja intensidad con el principal objetivo de preparar al organismo para la actividad central de la jornada de entrenamiento.</t>
  </si>
  <si>
    <t>E.C.E</t>
  </si>
  <si>
    <t>Entrada en calor especifica.</t>
  </si>
  <si>
    <t>Dentro de la entrada en calor general un fragmento tiene un connotaciòn especifica del deporte a practicar. Ej: 2 km de c.c.s + 500 mts de TC.</t>
  </si>
  <si>
    <t>ACT</t>
  </si>
  <si>
    <t>Activaciones</t>
  </si>
  <si>
    <t>Son tramos de carrera de velocidad en llano de 60 a 80 mts o de trepadas tècnicas con una duraciòn de 6” a 8” pudiendo alcanzar hasta un màximo de 10”</t>
  </si>
  <si>
    <t>Series … x… x…</t>
  </si>
  <si>
    <t>Series</t>
  </si>
  <si>
    <t>Son el conjunto de repeticiones que se separan en grupos. Es la cantidad de bloques de ejercicios.</t>
  </si>
  <si>
    <t>Rep ...x…</t>
  </si>
  <si>
    <t>Repeticiones</t>
  </si>
  <si>
    <t>Es la repeticiòn de la unidad de la distancia en cuestiòn. Es la cantidad de ejercicios o repeticiones dentro de cada bloque o serie.</t>
  </si>
  <si>
    <t>PP</t>
  </si>
  <si>
    <t>Pausa Pasiva</t>
  </si>
  <si>
    <t>La recuperaciòn entre series o ejercicios es pasiva (recuperaciòn in situ o reposo). Sin generar movimiento.</t>
  </si>
  <si>
    <t xml:space="preserve">PA </t>
  </si>
  <si>
    <t>Pausa Activa</t>
  </si>
  <si>
    <t>La recuperaciòn se hace por medio de ejercicios o movimientos de baja intensidad con intenciòn de mantener una zona de pulso (caminar, trotar, saltar,etc)</t>
  </si>
  <si>
    <t>Macro</t>
  </si>
  <si>
    <t>Macro Pausa</t>
  </si>
  <si>
    <t>Es la pausa que se ubica entre cada serie. Es la pausa de mayor indole dentro de las actividades fraccionadas o de intervalos por series y repeticiones.</t>
  </si>
  <si>
    <t>Micro</t>
  </si>
  <si>
    <t>Micro Pausa</t>
  </si>
  <si>
    <t>Es la pausa se que se realiza entre medio de acada repeticiòn. Es la màs pequeña en trabajo fraccionados o de series.</t>
  </si>
  <si>
    <t>V.C</t>
  </si>
  <si>
    <t>Vuelta a la calma.</t>
  </si>
  <si>
    <t>Es el trabajo que se aborda al final de la jornada. Su objetivo principal es llevar al cuerpo al estado inicial de la pràctica deportiva.</t>
  </si>
  <si>
    <t>Carreras</t>
  </si>
  <si>
    <t>C.C</t>
  </si>
  <si>
    <t xml:space="preserve">Carrera Continua </t>
  </si>
  <si>
    <t>La carrera se desarrolla sin pausa y/o detenciones.</t>
  </si>
  <si>
    <t>C.C.S/ C.C.L</t>
  </si>
  <si>
    <t>Carrera Continua Suave/ Carrera Continua Lenta</t>
  </si>
  <si>
    <t>La carrera se desarrolla de forma continua en zonas de esfuerzo de baja intensidad (Z1/Z2). Un parametro fàcil de detectareste es poder hablar mientras se corre.</t>
  </si>
  <si>
    <t>C.C.U</t>
  </si>
  <si>
    <t>Carrera Continua Uniforme</t>
  </si>
  <si>
    <t>La carrera se realiza sobre un parametro constante. Esto puede realizarse mediante ritmo, sensaciones o zonas de entrenamiento (Z)</t>
  </si>
  <si>
    <t>C.C.V</t>
  </si>
  <si>
    <t>Carrera Continua Variable</t>
  </si>
  <si>
    <t>La carrera presenta alteraciones de ritmos, zonas y sensaciones en su ejecuciòn. Las mismas se pueden dar por el terreno accidentado, por intenciòn o por fatiga acumulada.</t>
  </si>
  <si>
    <t>C.C.R</t>
  </si>
  <si>
    <t>Carrera Continua Ràpida</t>
  </si>
  <si>
    <t>La carrera se realiza en zonas de intensidad alta en todo el tramo de carrera marcado. Puede o no presentar progresiòn sobre el final de la carrera, idealmente se busca uniformidad de principio a fin de la carrera ràpida.</t>
  </si>
  <si>
    <t>C.C.P</t>
  </si>
  <si>
    <t>Carrera Continua Progresiva</t>
  </si>
  <si>
    <t>La carrera presenta un incremento en la intensidad del ritmo de forma paulatina. Se debe correr de menos a màs ràpido. Cuando los ùltimos minutos o km son de menor ritmo o intensidad la progresiòn no ha sido exitosa.</t>
  </si>
  <si>
    <t>C.C.M</t>
  </si>
  <si>
    <t>Carrera Continua Màxima</t>
  </si>
  <si>
    <t>La carrera se desarrolla al ritmo màximo sostenible en el tramo de carrera marcado. Segùn cada distancia el ritmo màximo varia.</t>
  </si>
  <si>
    <t>Tècnicas</t>
  </si>
  <si>
    <t>TA</t>
  </si>
  <si>
    <t>Trepada Asistida</t>
  </si>
  <si>
    <t>La tècnica utiliza la caminata ràpida como medio de locomociòn. Se utilizan los brazos de forma activa para favorecer su velocidad de ejecuciòn. La trepada se realiza con el apoyo total del pie. Excepto en zonas donde la superficie o inclinaciòn no lo permitan.</t>
  </si>
  <si>
    <t>TC</t>
  </si>
  <si>
    <t>Trepada Corta</t>
  </si>
  <si>
    <t>La tècnica de ascenso presente una proximidad en el apoyo de su pies, los mismos lo hacen a tràves del metatarso. Los brazos tienen funciòndinàmica de braceo al igual que la tècnica de carrera en llano.</t>
  </si>
  <si>
    <t>TP</t>
  </si>
  <si>
    <t>Trepada en Potencia</t>
  </si>
  <si>
    <t>Es la trepada de mayor intensidad. Demanda la uniòn de la velocidad y la fuerza como medio posible de desarrollo de la potencia. El terreno debe permitir correr con un gesto similar al llano y no demandarnos el uso de otra trepada.</t>
  </si>
  <si>
    <t>DV</t>
  </si>
  <si>
    <t>Descenso en Velocidad</t>
  </si>
  <si>
    <t>Se realizan tramos de carrera en descenso haciendo foco en la velocidad de ejecuciòn.</t>
  </si>
  <si>
    <t>DT</t>
  </si>
  <si>
    <t>Descenso Tècnico</t>
  </si>
  <si>
    <t>Se realiza el descenso haciendo foco en aspectos tècnicos o sobre terrenos irregulares.</t>
  </si>
  <si>
    <t xml:space="preserve">D+ </t>
  </si>
  <si>
    <t>Desnivel Positivo</t>
  </si>
  <si>
    <t>Presenta la sumatorio de todos los tramos totales que se realizan en ascenso.</t>
  </si>
  <si>
    <t>D-</t>
  </si>
  <si>
    <t>Desnivel Negativo</t>
  </si>
  <si>
    <t>Presenta la sumatorio de todos los tramos totales que se realizan en descenso.</t>
  </si>
  <si>
    <t>D Acumulado</t>
  </si>
  <si>
    <t>Desnivel Acumulado</t>
  </si>
  <si>
    <t>Es la sumatoria del desnivel positivo y el desnivel negativo.</t>
  </si>
  <si>
    <t>Alt. Màx</t>
  </si>
  <si>
    <t>Altura Màxima</t>
  </si>
  <si>
    <t>Es el punto màs alto que encontraremos en el tramo o trayecto a realizar.</t>
  </si>
  <si>
    <t>LD</t>
  </si>
  <si>
    <t>Libre distribuciòn</t>
  </si>
  <si>
    <t>La tarea especifica de tècnica, desnivel o intensidad se distribuye libremente en el trabajo total.</t>
  </si>
  <si>
    <t>LF</t>
  </si>
  <si>
    <t>Libre fraccionamiento</t>
  </si>
  <si>
    <t>El trabajo diferenciado o pautado de tècnica, desnivel o intensidad puede ser cortado o parcializado libremente.</t>
  </si>
  <si>
    <t>Intensidades y Z de energìa</t>
  </si>
  <si>
    <t>Z</t>
  </si>
  <si>
    <t xml:space="preserve">Zonas </t>
  </si>
  <si>
    <t>Se utiliza para determinas zonas de entrenamiento basando su intensidad mediante la FC.</t>
  </si>
  <si>
    <t>FC</t>
  </si>
  <si>
    <t>Frecuencia Cardìaca</t>
  </si>
  <si>
    <t>Mide la cantidad o frecuencia de latidos por unidad de tiempo. Normalmente utilizamos latidos por minutos.</t>
  </si>
  <si>
    <t>PxM</t>
  </si>
  <si>
    <t>Pulsaciones por minuto</t>
  </si>
  <si>
    <t>Es la cantidad de latidos generados por el corazòn en el lapso de 1 minuto.</t>
  </si>
  <si>
    <t>BP</t>
  </si>
  <si>
    <t>Bajo Pulso</t>
  </si>
  <si>
    <t>Es el entrenamiento regenerativo por excelencia. Se realiza en Z1 o en el lìmite inferior de la zona 2. Su tiempo total asegura que el trabajo sea con fines de recuperaciòn. Rara vez supera los 50 min.</t>
  </si>
  <si>
    <t>Glucolitico</t>
  </si>
  <si>
    <t>El sistema que predomina en el esfuerzo es aquel aportado por los hidratos de carbono en mediana o alta intensidad.</t>
  </si>
  <si>
    <t>Lipolitico</t>
  </si>
  <si>
    <t>Predomina el sistema de las àcidos grasos como fuente predominante de aporte de energìa. Sus ritmos estàn atados a la baja intensidad.</t>
  </si>
  <si>
    <t>Otras</t>
  </si>
  <si>
    <t>T</t>
  </si>
  <si>
    <t>Transiciòn</t>
  </si>
  <si>
    <t>Se produce un cambio en la tècnica de terreno o en el terreno donde se desarrolla la carrera. Ej: TC a C.C.R. EJ2: C.C.R en calle a C.C.R en montaña.</t>
  </si>
  <si>
    <t>TF</t>
  </si>
  <si>
    <t>Transferencia</t>
  </si>
  <si>
    <t>Se busca contruibuir en el segundo gesto por medio de una activaciòn o reclutamiento en el primero en el primero. Ejemplo: 800 mts (400 mts en TP + 400 mts de C.C.R en montaña)</t>
  </si>
  <si>
    <t>EA</t>
  </si>
  <si>
    <t>Entrenamiento en ayunas</t>
  </si>
  <si>
    <t>Se realizan durante un largo perìodo de ayuno. Generalmente por la mañana y las intensidades son bajas, con el fin de favorecer la lipolicis. En alto rendimiento los atletas logran trabajar la alta intensidad bajo este sistema de entrenamiento.</t>
  </si>
  <si>
    <t>EP</t>
  </si>
  <si>
    <t>Entrenamiento Polarizado</t>
  </si>
  <si>
    <t>El entrenamiento combinado 2 zonas bien marcadas y combinadas entre la baja y la alta intensidad. El mètodo se puede utilizar intra sesiòn o entre sesiones.</t>
  </si>
  <si>
    <t>CT</t>
  </si>
  <si>
    <t xml:space="preserve">Entrenamiento Concurrente </t>
  </si>
  <si>
    <t>El entrenamiento combina 2 cualidades fìsicas en la misma sesiòn de entreno. Ej: aeròbico-fuerza.</t>
  </si>
  <si>
    <t>Entrenamiento Cruzado</t>
  </si>
  <si>
    <t>Se utiliza un deporte alternativo con el fin de favorecer al deporte principal. Ej: ciclismo.</t>
  </si>
  <si>
    <t>PF</t>
  </si>
  <si>
    <t>Preparaciòn Fìsica</t>
  </si>
  <si>
    <t>Es el trabajo abocado a la mejorar de distintas cualidades fìsicas o las propias del deporte desde el fortalecimiento de la musculatura implicada o no (General o Especifica)</t>
  </si>
  <si>
    <t>Puesto de Abastecimiento</t>
  </si>
  <si>
    <t>Son los puestos donde se encuentra la ropa, alimentos o hidrataciòn brindada por la organizaciòn o autoadministrada.</t>
  </si>
  <si>
    <t>Martes</t>
  </si>
  <si>
    <t>Miércoles</t>
  </si>
  <si>
    <t>Jueves</t>
  </si>
  <si>
    <t xml:space="preserve">sábado </t>
  </si>
  <si>
    <t>Descargas de 7 días previos/ Ultras</t>
  </si>
  <si>
    <t>35 Min C.C.S</t>
  </si>
  <si>
    <t xml:space="preserve">E.C 1.5 Km + 3 x 1.000 mts + 2 km V.C ( RM / PP5 min) </t>
  </si>
  <si>
    <t>30 Min C.C.S</t>
  </si>
  <si>
    <t>C.C.S 15 min + 6 rectas de 50 mts</t>
  </si>
  <si>
    <t>Carrera</t>
  </si>
  <si>
    <t>30 min regenerativos Prioridad *Natación *Ciclismo*Ultima instancia Run</t>
  </si>
  <si>
    <t>45 min C.C en montaña</t>
  </si>
  <si>
    <t xml:space="preserve">E.C 2 Km + 2 x 1.500 mts + 2 km V.C                                               (Ritmo Competencia / PP6 min) </t>
  </si>
  <si>
    <t>40 min C.C en montaña</t>
  </si>
  <si>
    <t>Preparación Física (Core)</t>
  </si>
  <si>
    <t>30 min de C.C.S</t>
  </si>
  <si>
    <t>1 Hora  de C.C en montaña de la cruz.</t>
  </si>
  <si>
    <t>Descanso Total</t>
  </si>
  <si>
    <t>50 Min C.C en montaña de la cruz</t>
  </si>
  <si>
    <t>40 min C.C.S</t>
  </si>
  <si>
    <t>Optativo: Trote de 30 min para aflojar las piernas y bajar la ansiedad.</t>
  </si>
  <si>
    <t>1 Hora de C.C en montaña de la cruz</t>
  </si>
  <si>
    <t>Descanso ¨Running¨ Solo Prep. Física Con Gonzalo</t>
  </si>
  <si>
    <t>45 min C.C en la montaña de la cruz</t>
  </si>
  <si>
    <t>30 min C.C.S</t>
  </si>
  <si>
    <t>50 min C.C en montaña de la cruz</t>
  </si>
  <si>
    <t>P.F con Gonzalo + 45 min Regenerativos</t>
  </si>
  <si>
    <t>Descargas de 7 días previos (Intensiva)</t>
  </si>
  <si>
    <t xml:space="preserve">E.C 2 km +  </t>
  </si>
  <si>
    <t>30 min regenerativos Prioridad *Natación *Ciclismo*Ultima instancia Run / Encadena nueva descarga</t>
  </si>
  <si>
    <t>2 x 250</t>
  </si>
  <si>
    <t>45 min C.C</t>
  </si>
  <si>
    <t>2 x 200</t>
  </si>
  <si>
    <t xml:space="preserve">Micro 2 min Macro 4 min </t>
  </si>
  <si>
    <t xml:space="preserve"> 2 km Vuelta a la calma</t>
  </si>
  <si>
    <t>30 min regenerativos Prioridad *Natación *Ciclismo*Ultima instancia Run/ Encadena nueva descarga.</t>
  </si>
  <si>
    <t>2km-1,5km-1km-500mts</t>
  </si>
  <si>
    <t>Pausa 3:30 min Pasivo</t>
  </si>
  <si>
    <t>Descargas de 14/21 días previos</t>
  </si>
  <si>
    <t>45 min  de C.C en montaña de la cruz.</t>
  </si>
  <si>
    <t xml:space="preserve">Fondo de 40 min en calle </t>
  </si>
  <si>
    <t>BP 30 min.</t>
  </si>
  <si>
    <t>1:15 hs de fondo en montaña</t>
  </si>
  <si>
    <t>Encadenada nueva descarga</t>
  </si>
  <si>
    <t>E.C Especifica 20 min              ( 5´ Fondo+ 5´ TA + TC + 5´ TP)   + 3 x 1 km (Ritmo Máximo/ PP 6 min) + 10 min V.C</t>
  </si>
  <si>
    <t>45 min de C.C en 140 PxM</t>
  </si>
  <si>
    <t>E.C Especifica 15 min              ( 5´ Fondo+ 5´ TC + 5´ TP)   + 5 x 500 mts (Ritmo Máximo/ PP 6 min) + 10 min V.C</t>
  </si>
  <si>
    <t>40 min de C.C en 140 PxM</t>
  </si>
  <si>
    <t>1 hora de fondo en montaña</t>
  </si>
  <si>
    <t>Descargas de 7 días previos (Técnicas)</t>
  </si>
  <si>
    <t>E.C 2.5 km + 40 min continuos de TC (Ritmo 70%) + 2 km de vuelta a la calma</t>
  </si>
  <si>
    <t>E.C 2.5 km + 3 x 1 km (PPP 4 min/ Ritmo +80%) + 2 km de v.c.</t>
  </si>
  <si>
    <t>E.C 3 km + 30 min de TC ( Ritmo 70%) + 2 km de vuelta a la calma.</t>
  </si>
  <si>
    <t xml:space="preserve">                Descanso total                  (asimilación)</t>
  </si>
  <si>
    <t>40 min de c.c.s</t>
  </si>
  <si>
    <t>BP 30 min / Decanso                                                 (mañana)</t>
  </si>
  <si>
    <t>Competencia</t>
  </si>
  <si>
    <t>E.C 2 km + 500 mts de D+ con bastones + 2 km de v.c.</t>
  </si>
  <si>
    <t>45 min de C.C en area lipolitica</t>
  </si>
  <si>
    <t>E.C 2 km + 400 mts de D+ con bastones + 2 km de v.c.</t>
  </si>
  <si>
    <t>BP 40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</si>
</sst>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hh:mm:ss"/>
  </numFmts>
  <fonts count="10" x14ac:knownFonts="1">
    <font>
      <sz val="11"/>
      <color rgb="FF000000"/>
      <name val="Calibri"/>
      <family val="2"/>
      <charset val="1"/>
    </font>
    <font>
      <b/>
      <sz val="11"/>
      <color rgb="FF000000"/>
      <name val="Calibri"/>
      <family val="2"/>
      <charset val="1"/>
    </font>
    <font>
      <b/>
      <sz val="11"/>
      <color rgb="FF333333"/>
      <name val="Calibri"/>
      <family val="2"/>
      <charset val="1"/>
    </font>
    <font>
      <b/>
      <sz val="11"/>
      <color rgb="FF000000"/>
      <name val="Calibri"/>
      <family val="2"/>
    </font>
    <font>
      <sz val="11"/>
      <color rgb="FF000000"/>
      <name val="Berlin Sans FB Demi"/>
      <family val="2"/>
      <charset val="1"/>
    </font>
    <font>
      <i/>
      <u/>
      <sz val="11"/>
      <color rgb="FF000000"/>
      <name val="Calibri"/>
      <family val="2"/>
      <charset val="1"/>
    </font>
    <font>
      <b/>
      <i/>
      <u/>
      <sz val="11"/>
      <color rgb="FF000000"/>
      <name val="Calibri"/>
      <family val="2"/>
      <charset val="1"/>
    </font>
    <font>
      <b/>
      <i/>
      <u/>
      <sz val="11"/>
      <color rgb="FFFFFFD7"/>
      <name val="Calibri"/>
      <family val="2"/>
      <charset val="1"/>
    </font>
    <font>
      <sz val="10"/>
      <color rgb="FF333333"/>
      <name val="Tahoma"/>
      <family val="2"/>
      <charset val="1"/>
    </font>
    <font>
      <b/>
      <u/>
      <sz val="11"/>
      <color rgb="FF000000"/>
      <name val="Calibri"/>
      <family val="2"/>
      <charset val="1"/>
    </font>
  </fonts>
  <fills count="14">
    <fill>
      <patternFill patternType="none"/>
    </fill>
    <fill>
      <patternFill patternType="gray125"/>
    </fill>
    <fill>
      <patternFill patternType="solid">
        <fgColor rgb="FFFFFF00"/>
        <bgColor rgb="FFFFFF00"/>
      </patternFill>
    </fill>
    <fill>
      <patternFill patternType="solid">
        <fgColor rgb="FFBBE33D"/>
        <bgColor rgb="FF92D050"/>
      </patternFill>
    </fill>
    <fill>
      <patternFill patternType="solid">
        <fgColor rgb="FFFF4000"/>
        <bgColor rgb="FFFF0000"/>
      </patternFill>
    </fill>
    <fill>
      <patternFill patternType="solid">
        <fgColor rgb="FF92D050"/>
        <bgColor rgb="FF99CC00"/>
      </patternFill>
    </fill>
    <fill>
      <patternFill patternType="solid">
        <fgColor rgb="FFFF0000"/>
        <bgColor rgb="FFFF4000"/>
      </patternFill>
    </fill>
    <fill>
      <patternFill patternType="solid">
        <fgColor rgb="FF00B0F0"/>
        <bgColor rgb="FF33CCCC"/>
      </patternFill>
    </fill>
    <fill>
      <patternFill patternType="solid">
        <fgColor rgb="FFC0C0C0"/>
        <bgColor rgb="FFCCCCFF"/>
      </patternFill>
    </fill>
    <fill>
      <patternFill patternType="solid">
        <fgColor rgb="FFCCFFFF"/>
        <bgColor rgb="FFCCFFFF"/>
      </patternFill>
    </fill>
    <fill>
      <patternFill patternType="solid">
        <fgColor rgb="FFFFFFFF"/>
        <bgColor rgb="FFFFFFD7"/>
      </patternFill>
    </fill>
    <fill>
      <patternFill patternType="solid">
        <fgColor rgb="FF33CCCC"/>
        <bgColor rgb="FF00B0F0"/>
      </patternFill>
    </fill>
    <fill>
      <patternFill patternType="solid">
        <fgColor rgb="FF99CC00"/>
        <bgColor rgb="FF92D050"/>
      </patternFill>
    </fill>
    <fill>
      <patternFill patternType="solid">
        <fgColor rgb="FFBF819E"/>
        <bgColor rgb="FF808080"/>
      </patternFill>
    </fill>
  </fills>
  <borders count="14">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Dashed">
        <color auto="1"/>
      </left>
      <right style="mediumDashed">
        <color auto="1"/>
      </right>
      <top style="mediumDashed">
        <color auto="1"/>
      </top>
      <bottom style="mediumDashed">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s>
  <cellStyleXfs count="1">
    <xf numFmtId="0" fontId="0" fillId="0" borderId="0"/>
  </cellStyleXfs>
  <cellXfs count="57">
    <xf numFmtId="0" fontId="0" fillId="0" borderId="0" xfId="0"/>
    <xf numFmtId="0" fontId="8" fillId="6" borderId="8" xfId="0" applyFont="1" applyFill="1" applyBorder="1" applyAlignment="1">
      <alignment horizontal="center" vertical="center" wrapText="1"/>
    </xf>
    <xf numFmtId="0" fontId="0" fillId="6" borderId="8" xfId="0" applyFill="1" applyBorder="1" applyAlignment="1">
      <alignment horizontal="center" vertical="center" wrapText="1"/>
    </xf>
    <xf numFmtId="0" fontId="0" fillId="6" borderId="7" xfId="0" applyFill="1" applyBorder="1" applyAlignment="1">
      <alignment horizontal="center" vertical="center" wrapText="1"/>
    </xf>
    <xf numFmtId="0" fontId="4" fillId="6" borderId="5" xfId="0" applyFont="1" applyFill="1" applyBorder="1" applyAlignment="1">
      <alignment vertical="center" wrapText="1"/>
    </xf>
    <xf numFmtId="0" fontId="8"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0" fillId="2" borderId="7" xfId="0" applyFill="1" applyBorder="1" applyAlignment="1">
      <alignment horizontal="center" vertical="center" wrapText="1"/>
    </xf>
    <xf numFmtId="0" fontId="8" fillId="11" borderId="8" xfId="0" applyFont="1" applyFill="1" applyBorder="1" applyAlignment="1">
      <alignment horizontal="center" vertical="center" wrapText="1"/>
    </xf>
    <xf numFmtId="0" fontId="0" fillId="11" borderId="8" xfId="0" applyFill="1" applyBorder="1" applyAlignment="1">
      <alignment horizontal="center" vertical="center" wrapText="1"/>
    </xf>
    <xf numFmtId="0" fontId="0" fillId="11" borderId="7" xfId="0" applyFill="1" applyBorder="1" applyAlignment="1">
      <alignment horizontal="center" vertical="center" wrapText="1"/>
    </xf>
    <xf numFmtId="0" fontId="0" fillId="9" borderId="5" xfId="0" applyFill="1" applyBorder="1" applyAlignment="1">
      <alignment horizontal="center" vertical="center" wrapText="1"/>
    </xf>
    <xf numFmtId="0" fontId="0" fillId="2" borderId="5" xfId="0" applyFill="1" applyBorder="1" applyAlignment="1">
      <alignment horizontal="center" vertical="center" wrapText="1"/>
    </xf>
    <xf numFmtId="0" fontId="4" fillId="9" borderId="5" xfId="0" applyFont="1" applyFill="1" applyBorder="1" applyAlignment="1">
      <alignment vertical="center" wrapText="1"/>
    </xf>
    <xf numFmtId="0" fontId="1" fillId="2" borderId="0" xfId="0" applyFont="1" applyFill="1" applyAlignment="1">
      <alignment wrapText="1"/>
    </xf>
    <xf numFmtId="0" fontId="1" fillId="0" borderId="0" xfId="0" applyFont="1" applyAlignment="1">
      <alignment wrapText="1"/>
    </xf>
    <xf numFmtId="0" fontId="0" fillId="0" borderId="0" xfId="0" applyAlignment="1">
      <alignment horizontal="left" vertical="center" wrapText="1"/>
    </xf>
    <xf numFmtId="0" fontId="1" fillId="0" borderId="0" xfId="0" applyFont="1"/>
    <xf numFmtId="0" fontId="0" fillId="3" borderId="0" xfId="0" applyFill="1"/>
    <xf numFmtId="0" fontId="2" fillId="4" borderId="0" xfId="0" applyFont="1" applyFill="1" applyAlignment="1">
      <alignment horizont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164" fontId="1" fillId="0" borderId="0" xfId="0" applyNumberFormat="1" applyFont="1" applyAlignment="1">
      <alignment horizontal="center" vertical="center"/>
    </xf>
    <xf numFmtId="0" fontId="1" fillId="5"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7" borderId="4" xfId="0" applyFont="1" applyFill="1" applyBorder="1" applyAlignment="1">
      <alignment horizontal="center" vertical="center"/>
    </xf>
    <xf numFmtId="0" fontId="0" fillId="2" borderId="0" xfId="0" applyFill="1" applyAlignment="1">
      <alignment horizontal="center"/>
    </xf>
    <xf numFmtId="0" fontId="0" fillId="0" borderId="0" xfId="0" applyAlignment="1">
      <alignment horizontal="center" vertical="center" wrapText="1"/>
    </xf>
    <xf numFmtId="46" fontId="0" fillId="0" borderId="0" xfId="0" applyNumberFormat="1" applyAlignment="1">
      <alignment horizontal="center" vertical="center" wrapText="1"/>
    </xf>
    <xf numFmtId="0" fontId="0" fillId="2" borderId="0" xfId="0" applyFill="1"/>
    <xf numFmtId="165" fontId="0" fillId="0" borderId="0" xfId="0" applyNumberFormat="1" applyAlignment="1">
      <alignment horizontal="center" vertical="center" wrapText="1"/>
    </xf>
    <xf numFmtId="0" fontId="0" fillId="8" borderId="5" xfId="0" applyFill="1" applyBorder="1" applyAlignment="1">
      <alignment horizontal="center"/>
    </xf>
    <xf numFmtId="0" fontId="1"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7" fillId="0" borderId="0" xfId="0" applyFont="1" applyAlignment="1">
      <alignment horizontal="center"/>
    </xf>
    <xf numFmtId="0" fontId="0" fillId="10" borderId="6" xfId="0" applyFill="1" applyBorder="1" applyAlignment="1">
      <alignment horizontal="center" vertical="center" wrapText="1"/>
    </xf>
    <xf numFmtId="0" fontId="6" fillId="0" borderId="0" xfId="0" applyFont="1"/>
    <xf numFmtId="0" fontId="0" fillId="6" borderId="9" xfId="0" applyFill="1" applyBorder="1" applyAlignment="1">
      <alignment horizontal="center"/>
    </xf>
    <xf numFmtId="0" fontId="0" fillId="6" borderId="9" xfId="0" applyFill="1" applyBorder="1"/>
    <xf numFmtId="0" fontId="0" fillId="6" borderId="10" xfId="0" applyFill="1" applyBorder="1" applyAlignment="1">
      <alignment horizontal="center"/>
    </xf>
    <xf numFmtId="0" fontId="0" fillId="6" borderId="10" xfId="0" applyFill="1" applyBorder="1"/>
    <xf numFmtId="0" fontId="0" fillId="6" borderId="11" xfId="0" applyFill="1" applyBorder="1" applyAlignment="1">
      <alignment horizontal="center"/>
    </xf>
    <xf numFmtId="0" fontId="0" fillId="6" borderId="11" xfId="0" applyFill="1" applyBorder="1"/>
    <xf numFmtId="0" fontId="0" fillId="6" borderId="12" xfId="0" applyFill="1" applyBorder="1" applyAlignment="1">
      <alignment horizontal="center"/>
    </xf>
    <xf numFmtId="0" fontId="0" fillId="6" borderId="13" xfId="0" applyFill="1" applyBorder="1" applyAlignment="1">
      <alignment horizontal="center"/>
    </xf>
    <xf numFmtId="0" fontId="0" fillId="6" borderId="12"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0" xfId="0" applyFill="1" applyBorder="1" applyAlignment="1">
      <alignment horizontal="center" vertical="center" wrapText="1"/>
    </xf>
    <xf numFmtId="0" fontId="8" fillId="6" borderId="9" xfId="0" applyFont="1" applyFill="1" applyBorder="1" applyAlignment="1">
      <alignment horizontal="center" vertical="center" wrapText="1"/>
    </xf>
    <xf numFmtId="0" fontId="4" fillId="12" borderId="5" xfId="0" applyFont="1" applyFill="1" applyBorder="1" applyAlignment="1">
      <alignment vertical="center" wrapText="1"/>
    </xf>
    <xf numFmtId="0" fontId="0" fillId="12" borderId="5" xfId="0" applyFill="1" applyBorder="1" applyAlignment="1">
      <alignment horizontal="center" vertical="center" wrapText="1"/>
    </xf>
    <xf numFmtId="0" fontId="8" fillId="12" borderId="5"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4" fillId="13"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2D050"/>
      <rgbColor rgb="FFFF99CC"/>
      <rgbColor rgb="FFCC99FF"/>
      <rgbColor rgb="FFFFCC99"/>
      <rgbColor rgb="FF3366FF"/>
      <rgbColor rgb="FF33CCCC"/>
      <rgbColor rgb="FF99CC00"/>
      <rgbColor rgb="FFBBE33D"/>
      <rgbColor rgb="FFFF9900"/>
      <rgbColor rgb="FFFF4000"/>
      <rgbColor rgb="FF666699"/>
      <rgbColor rgb="FFBF819E"/>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642960</xdr:colOff>
      <xdr:row>0</xdr:row>
      <xdr:rowOff>25200</xdr:rowOff>
    </xdr:from>
    <xdr:to>
      <xdr:col>6</xdr:col>
      <xdr:colOff>46800</xdr:colOff>
      <xdr:row>7</xdr:row>
      <xdr:rowOff>142920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396920" y="25200"/>
          <a:ext cx="4420080" cy="1359720"/>
        </a:xfrm>
        <a:prstGeom prst="rect">
          <a:avLst/>
        </a:prstGeom>
        <a:ln w="0">
          <a:noFill/>
        </a:ln>
      </xdr:spPr>
    </xdr:pic>
    <xdr:clientData/>
  </xdr:twoCellAnchor>
  <xdr:twoCellAnchor editAs="oneCell">
    <xdr:from>
      <xdr:col>6</xdr:col>
      <xdr:colOff>138600</xdr:colOff>
      <xdr:row>0</xdr:row>
      <xdr:rowOff>0</xdr:rowOff>
    </xdr:from>
    <xdr:to>
      <xdr:col>7</xdr:col>
      <xdr:colOff>1814400</xdr:colOff>
      <xdr:row>7</xdr:row>
      <xdr:rowOff>165240</xdr:rowOff>
    </xdr:to>
    <xdr:pic>
      <xdr:nvPicPr>
        <xdr:cNvPr id="3" name="Imagen 4">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1908800" y="0"/>
          <a:ext cx="2740680" cy="140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362880</xdr:colOff>
      <xdr:row>34</xdr:row>
      <xdr:rowOff>73440</xdr:rowOff>
    </xdr:to>
    <xdr:pic>
      <xdr:nvPicPr>
        <xdr:cNvPr id="2" name="Imagen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0" y="0"/>
          <a:ext cx="3372840" cy="5600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483480</xdr:colOff>
      <xdr:row>44</xdr:row>
      <xdr:rowOff>116280</xdr:rowOff>
    </xdr:to>
    <xdr:pic>
      <xdr:nvPicPr>
        <xdr:cNvPr id="3" name="Imagen 3">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xdr:blipFill>
      <xdr:spPr>
        <a:xfrm>
          <a:off x="0" y="0"/>
          <a:ext cx="4095360" cy="72687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21"/>
  <sheetViews>
    <sheetView tabSelected="1" topLeftCell="A16" zoomScaleNormal="100" workbookViewId="0">
      <selection activeCell="D21" sqref="D21"/>
    </sheetView>
  </sheetViews>
  <sheetFormatPr baseColWidth="10" defaultColWidth="8.5546875" defaultRowHeight="14.4" x14ac:dyDescent="0.3"/>
  <cols>
    <col min="1" max="1" width="8.88671875" customWidth="1"/>
    <col min="2" max="2" width="22.44140625" customWidth="1"/>
    <col min="3" max="3" width="31.88671875" customWidth="1"/>
    <col min="4" max="4" width="32.5546875" customWidth="1"/>
    <col min="5" max="5" width="37.88671875" customWidth="1"/>
    <col min="6" max="6" width="33.21875" customWidth="1"/>
    <col min="7" max="7" width="15.109375" customWidth="1"/>
    <col min="8" max="8" width="29" customWidth="1"/>
    <col min="9" max="9" width="26.88671875" customWidth="1"/>
    <col min="10" max="1025" width="8.88671875" customWidth="1"/>
  </cols>
  <sheetData>
    <row r="3" spans="1:9" x14ac:dyDescent="0.3">
      <c r="B3" t="s">
        <v>0</v>
      </c>
      <c r="C3" s="15" t="s">
        <v>1</v>
      </c>
      <c r="D3" t="s">
        <v>2</v>
      </c>
    </row>
    <row r="4" spans="1:9" ht="13.8" customHeight="1" x14ac:dyDescent="0.3">
      <c r="B4" s="16" t="s">
        <v>3</v>
      </c>
      <c r="C4" s="14" t="s">
        <v>4</v>
      </c>
      <c r="D4" s="14"/>
    </row>
    <row r="5" spans="1:9" x14ac:dyDescent="0.3">
      <c r="B5" t="s">
        <v>5</v>
      </c>
      <c r="C5" s="17"/>
    </row>
    <row r="6" spans="1:9" x14ac:dyDescent="0.3">
      <c r="B6" t="s">
        <v>6</v>
      </c>
      <c r="C6" s="17"/>
    </row>
    <row r="7" spans="1:9" x14ac:dyDescent="0.3">
      <c r="B7" t="s">
        <v>7</v>
      </c>
      <c r="C7" s="17"/>
    </row>
    <row r="8" spans="1:9" x14ac:dyDescent="0.3">
      <c r="B8" t="s">
        <v>8</v>
      </c>
      <c r="C8" s="17"/>
    </row>
    <row r="10" spans="1:9" x14ac:dyDescent="0.3">
      <c r="B10" s="18" t="s">
        <v>9</v>
      </c>
      <c r="C10" s="18"/>
      <c r="D10" s="18"/>
      <c r="E10" s="18"/>
      <c r="F10" s="18"/>
      <c r="G10" s="18"/>
    </row>
    <row r="12" spans="1:9" x14ac:dyDescent="0.3">
      <c r="A12" s="19" t="s">
        <v>10</v>
      </c>
      <c r="B12" s="20" t="s">
        <v>11</v>
      </c>
      <c r="C12" s="21" t="s">
        <v>12</v>
      </c>
      <c r="D12" s="21" t="s">
        <v>13</v>
      </c>
      <c r="E12" s="21" t="s">
        <v>14</v>
      </c>
      <c r="F12" s="21" t="s">
        <v>15</v>
      </c>
      <c r="G12" s="21" t="s">
        <v>16</v>
      </c>
      <c r="H12" s="21" t="s">
        <v>17</v>
      </c>
      <c r="I12" s="21" t="s">
        <v>18</v>
      </c>
    </row>
    <row r="13" spans="1:9" ht="126.6" customHeight="1" x14ac:dyDescent="0.3">
      <c r="A13" s="22">
        <v>46195</v>
      </c>
      <c r="B13" s="23">
        <v>1</v>
      </c>
      <c r="C13" s="21" t="s">
        <v>19</v>
      </c>
      <c r="D13" s="21" t="s">
        <v>20</v>
      </c>
      <c r="E13" s="21" t="s">
        <v>21</v>
      </c>
      <c r="F13" s="21" t="s">
        <v>22</v>
      </c>
      <c r="G13" s="21" t="s">
        <v>23</v>
      </c>
      <c r="H13" s="21" t="s">
        <v>24</v>
      </c>
      <c r="I13" s="21" t="s">
        <v>25</v>
      </c>
    </row>
    <row r="14" spans="1:9" ht="129" customHeight="1" x14ac:dyDescent="0.3">
      <c r="A14" s="22">
        <v>46202</v>
      </c>
      <c r="B14" s="24">
        <v>2</v>
      </c>
      <c r="C14" s="21" t="s">
        <v>26</v>
      </c>
      <c r="D14" s="21" t="s">
        <v>27</v>
      </c>
      <c r="E14" s="21" t="s">
        <v>28</v>
      </c>
      <c r="F14" s="21" t="s">
        <v>29</v>
      </c>
      <c r="G14" s="21" t="s">
        <v>30</v>
      </c>
      <c r="H14" s="21" t="s">
        <v>31</v>
      </c>
      <c r="I14" s="21" t="s">
        <v>25</v>
      </c>
    </row>
    <row r="15" spans="1:9" ht="134.25" customHeight="1" x14ac:dyDescent="0.3">
      <c r="A15" s="22">
        <v>46209</v>
      </c>
      <c r="B15" s="25">
        <v>3</v>
      </c>
      <c r="C15" s="21" t="s">
        <v>32</v>
      </c>
      <c r="D15" s="21" t="s">
        <v>33</v>
      </c>
      <c r="E15" s="21" t="s">
        <v>34</v>
      </c>
      <c r="F15" s="21" t="s">
        <v>35</v>
      </c>
      <c r="G15" s="21" t="s">
        <v>23</v>
      </c>
      <c r="H15" s="21" t="s">
        <v>36</v>
      </c>
      <c r="I15" s="21" t="s">
        <v>25</v>
      </c>
    </row>
    <row r="16" spans="1:9" ht="88.95" customHeight="1" x14ac:dyDescent="0.3">
      <c r="A16" s="22">
        <v>46216</v>
      </c>
      <c r="B16" s="26">
        <v>4</v>
      </c>
      <c r="C16" s="21" t="s">
        <v>37</v>
      </c>
      <c r="D16" s="21" t="s">
        <v>38</v>
      </c>
      <c r="E16" s="21" t="s">
        <v>39</v>
      </c>
      <c r="F16" s="21" t="s">
        <v>40</v>
      </c>
      <c r="G16" s="21" t="s">
        <v>41</v>
      </c>
      <c r="H16" s="21" t="s">
        <v>42</v>
      </c>
      <c r="I16" s="21" t="s">
        <v>25</v>
      </c>
    </row>
    <row r="18" spans="3:6" x14ac:dyDescent="0.3">
      <c r="D18" s="27" t="s">
        <v>43</v>
      </c>
    </row>
    <row r="19" spans="3:6" x14ac:dyDescent="0.3">
      <c r="C19" s="28" t="s">
        <v>44</v>
      </c>
      <c r="D19" s="29">
        <v>3.6423611111111108E-2</v>
      </c>
      <c r="E19" t="s">
        <v>45</v>
      </c>
      <c r="F19" s="30" t="s">
        <v>46</v>
      </c>
    </row>
    <row r="20" spans="3:6" x14ac:dyDescent="0.3">
      <c r="C20" s="28" t="s">
        <v>47</v>
      </c>
      <c r="D20" s="31">
        <f>D19*2.223</f>
        <v>8.0969687499999984E-2</v>
      </c>
      <c r="E20" t="s">
        <v>48</v>
      </c>
      <c r="F20" s="30" t="s">
        <v>49</v>
      </c>
    </row>
    <row r="21" spans="3:6" x14ac:dyDescent="0.3">
      <c r="C21" s="28" t="s">
        <v>50</v>
      </c>
      <c r="D21" s="31">
        <f>D20*2.1</f>
        <v>0.17003634374999999</v>
      </c>
    </row>
  </sheetData>
  <mergeCells count="1">
    <mergeCell ref="C4:D4"/>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2"/>
  <sheetViews>
    <sheetView zoomScaleNormal="100" workbookViewId="0"/>
  </sheetViews>
  <sheetFormatPr baseColWidth="10" defaultColWidth="8.5546875" defaultRowHeight="14.4" x14ac:dyDescent="0.3"/>
  <cols>
    <col min="1" max="1" width="19.109375" customWidth="1"/>
    <col min="2" max="2" width="42" customWidth="1"/>
    <col min="3" max="3" width="72.88671875" customWidth="1"/>
  </cols>
  <sheetData>
    <row r="1" spans="1:15" x14ac:dyDescent="0.3">
      <c r="A1" s="30" t="s">
        <v>51</v>
      </c>
      <c r="B1" s="30" t="s">
        <v>52</v>
      </c>
      <c r="C1" s="30" t="s">
        <v>53</v>
      </c>
      <c r="D1" s="30"/>
      <c r="E1" s="30"/>
      <c r="F1" s="30"/>
      <c r="G1" s="30"/>
      <c r="H1" s="30"/>
      <c r="I1" s="30"/>
      <c r="J1" s="30"/>
      <c r="K1" s="30"/>
      <c r="L1" s="30"/>
      <c r="M1" s="30"/>
      <c r="N1" s="30"/>
      <c r="O1" s="30"/>
    </row>
    <row r="2" spans="1:15" x14ac:dyDescent="0.3">
      <c r="A2" s="18" t="s">
        <v>54</v>
      </c>
      <c r="B2" s="18"/>
    </row>
    <row r="3" spans="1:15" x14ac:dyDescent="0.3">
      <c r="A3" t="s">
        <v>55</v>
      </c>
      <c r="B3" t="s">
        <v>56</v>
      </c>
      <c r="C3" t="s">
        <v>57</v>
      </c>
    </row>
    <row r="4" spans="1:15" x14ac:dyDescent="0.3">
      <c r="A4" t="s">
        <v>58</v>
      </c>
      <c r="B4" t="s">
        <v>59</v>
      </c>
      <c r="C4" t="s">
        <v>60</v>
      </c>
    </row>
    <row r="5" spans="1:15" x14ac:dyDescent="0.3">
      <c r="A5" t="s">
        <v>61</v>
      </c>
      <c r="B5" t="s">
        <v>62</v>
      </c>
      <c r="C5" t="s">
        <v>63</v>
      </c>
    </row>
    <row r="6" spans="1:15" x14ac:dyDescent="0.3">
      <c r="A6" t="s">
        <v>64</v>
      </c>
      <c r="B6" t="s">
        <v>65</v>
      </c>
      <c r="C6" t="s">
        <v>66</v>
      </c>
    </row>
    <row r="7" spans="1:15" x14ac:dyDescent="0.3">
      <c r="A7" t="s">
        <v>67</v>
      </c>
      <c r="B7" t="s">
        <v>68</v>
      </c>
      <c r="C7" t="s">
        <v>69</v>
      </c>
    </row>
    <row r="8" spans="1:15" x14ac:dyDescent="0.3">
      <c r="A8" t="s">
        <v>70</v>
      </c>
      <c r="B8" t="s">
        <v>71</v>
      </c>
      <c r="C8" t="s">
        <v>72</v>
      </c>
    </row>
    <row r="9" spans="1:15" x14ac:dyDescent="0.3">
      <c r="A9" t="s">
        <v>73</v>
      </c>
      <c r="B9" t="s">
        <v>74</v>
      </c>
      <c r="C9" t="s">
        <v>75</v>
      </c>
    </row>
    <row r="10" spans="1:15" x14ac:dyDescent="0.3">
      <c r="A10" t="s">
        <v>76</v>
      </c>
      <c r="B10" t="s">
        <v>77</v>
      </c>
      <c r="C10" t="s">
        <v>78</v>
      </c>
    </row>
    <row r="11" spans="1:15" x14ac:dyDescent="0.3">
      <c r="A11" t="s">
        <v>79</v>
      </c>
      <c r="B11" t="s">
        <v>80</v>
      </c>
      <c r="C11" t="s">
        <v>81</v>
      </c>
    </row>
    <row r="12" spans="1:15" x14ac:dyDescent="0.3">
      <c r="A12" t="s">
        <v>82</v>
      </c>
      <c r="B12" t="s">
        <v>83</v>
      </c>
      <c r="C12" t="s">
        <v>84</v>
      </c>
    </row>
    <row r="14" spans="1:15" x14ac:dyDescent="0.3">
      <c r="A14" s="18" t="s">
        <v>85</v>
      </c>
      <c r="B14" s="18"/>
    </row>
    <row r="15" spans="1:15" x14ac:dyDescent="0.3">
      <c r="A15" t="s">
        <v>86</v>
      </c>
      <c r="B15" t="s">
        <v>87</v>
      </c>
      <c r="C15" t="s">
        <v>88</v>
      </c>
    </row>
    <row r="16" spans="1:15" x14ac:dyDescent="0.3">
      <c r="A16" t="s">
        <v>89</v>
      </c>
      <c r="B16" t="s">
        <v>90</v>
      </c>
      <c r="C16" t="s">
        <v>91</v>
      </c>
    </row>
    <row r="17" spans="1:3" x14ac:dyDescent="0.3">
      <c r="A17" t="s">
        <v>92</v>
      </c>
      <c r="B17" t="s">
        <v>93</v>
      </c>
      <c r="C17" t="s">
        <v>94</v>
      </c>
    </row>
    <row r="18" spans="1:3" x14ac:dyDescent="0.3">
      <c r="A18" t="s">
        <v>95</v>
      </c>
      <c r="B18" t="s">
        <v>96</v>
      </c>
      <c r="C18" t="s">
        <v>97</v>
      </c>
    </row>
    <row r="19" spans="1:3" x14ac:dyDescent="0.3">
      <c r="A19" t="s">
        <v>98</v>
      </c>
      <c r="B19" t="s">
        <v>99</v>
      </c>
      <c r="C19" t="s">
        <v>100</v>
      </c>
    </row>
    <row r="20" spans="1:3" x14ac:dyDescent="0.3">
      <c r="A20" t="s">
        <v>101</v>
      </c>
      <c r="B20" t="s">
        <v>102</v>
      </c>
      <c r="C20" t="s">
        <v>103</v>
      </c>
    </row>
    <row r="21" spans="1:3" x14ac:dyDescent="0.3">
      <c r="A21" t="s">
        <v>104</v>
      </c>
      <c r="B21" t="s">
        <v>105</v>
      </c>
      <c r="C21" t="s">
        <v>106</v>
      </c>
    </row>
    <row r="23" spans="1:3" x14ac:dyDescent="0.3">
      <c r="A23" s="18" t="s">
        <v>107</v>
      </c>
      <c r="B23" s="18"/>
    </row>
    <row r="24" spans="1:3" x14ac:dyDescent="0.3">
      <c r="A24" t="s">
        <v>108</v>
      </c>
      <c r="B24" t="s">
        <v>109</v>
      </c>
      <c r="C24" t="s">
        <v>110</v>
      </c>
    </row>
    <row r="25" spans="1:3" x14ac:dyDescent="0.3">
      <c r="A25" t="s">
        <v>111</v>
      </c>
      <c r="B25" t="s">
        <v>112</v>
      </c>
      <c r="C25" t="s">
        <v>113</v>
      </c>
    </row>
    <row r="26" spans="1:3" x14ac:dyDescent="0.3">
      <c r="A26" t="s">
        <v>114</v>
      </c>
      <c r="B26" t="s">
        <v>115</v>
      </c>
      <c r="C26" t="s">
        <v>116</v>
      </c>
    </row>
    <row r="27" spans="1:3" x14ac:dyDescent="0.3">
      <c r="A27" t="s">
        <v>117</v>
      </c>
      <c r="B27" t="s">
        <v>118</v>
      </c>
      <c r="C27" t="s">
        <v>119</v>
      </c>
    </row>
    <row r="28" spans="1:3" x14ac:dyDescent="0.3">
      <c r="A28" t="s">
        <v>120</v>
      </c>
      <c r="B28" t="s">
        <v>121</v>
      </c>
      <c r="C28" t="s">
        <v>122</v>
      </c>
    </row>
    <row r="29" spans="1:3" x14ac:dyDescent="0.3">
      <c r="A29" t="s">
        <v>123</v>
      </c>
      <c r="B29" t="s">
        <v>124</v>
      </c>
      <c r="C29" t="s">
        <v>125</v>
      </c>
    </row>
    <row r="30" spans="1:3" x14ac:dyDescent="0.3">
      <c r="A30" t="s">
        <v>126</v>
      </c>
      <c r="B30" t="s">
        <v>127</v>
      </c>
      <c r="C30" t="s">
        <v>128</v>
      </c>
    </row>
    <row r="31" spans="1:3" x14ac:dyDescent="0.3">
      <c r="A31" t="s">
        <v>129</v>
      </c>
      <c r="B31" t="s">
        <v>130</v>
      </c>
      <c r="C31" t="s">
        <v>131</v>
      </c>
    </row>
    <row r="32" spans="1:3" x14ac:dyDescent="0.3">
      <c r="A32" t="s">
        <v>132</v>
      </c>
      <c r="B32" t="s">
        <v>133</v>
      </c>
      <c r="C32" t="s">
        <v>134</v>
      </c>
    </row>
    <row r="33" spans="1:3" x14ac:dyDescent="0.3">
      <c r="A33" t="s">
        <v>135</v>
      </c>
      <c r="B33" t="s">
        <v>136</v>
      </c>
      <c r="C33" t="s">
        <v>137</v>
      </c>
    </row>
    <row r="34" spans="1:3" x14ac:dyDescent="0.3">
      <c r="A34" t="s">
        <v>138</v>
      </c>
      <c r="B34" t="s">
        <v>139</v>
      </c>
      <c r="C34" t="s">
        <v>140</v>
      </c>
    </row>
    <row r="36" spans="1:3" x14ac:dyDescent="0.3">
      <c r="A36" s="18" t="s">
        <v>141</v>
      </c>
      <c r="B36" s="18"/>
    </row>
    <row r="37" spans="1:3" x14ac:dyDescent="0.3">
      <c r="A37" t="s">
        <v>142</v>
      </c>
      <c r="B37" t="s">
        <v>143</v>
      </c>
      <c r="C37" t="s">
        <v>144</v>
      </c>
    </row>
    <row r="38" spans="1:3" x14ac:dyDescent="0.3">
      <c r="A38" t="s">
        <v>145</v>
      </c>
      <c r="B38" t="s">
        <v>146</v>
      </c>
      <c r="C38" t="s">
        <v>147</v>
      </c>
    </row>
    <row r="39" spans="1:3" x14ac:dyDescent="0.3">
      <c r="A39" t="s">
        <v>148</v>
      </c>
      <c r="B39" t="s">
        <v>149</v>
      </c>
      <c r="C39" t="s">
        <v>150</v>
      </c>
    </row>
    <row r="40" spans="1:3" x14ac:dyDescent="0.3">
      <c r="A40" t="s">
        <v>151</v>
      </c>
      <c r="B40" t="s">
        <v>152</v>
      </c>
      <c r="C40" t="s">
        <v>153</v>
      </c>
    </row>
    <row r="41" spans="1:3" x14ac:dyDescent="0.3">
      <c r="A41" t="s">
        <v>154</v>
      </c>
      <c r="B41" t="s">
        <v>154</v>
      </c>
      <c r="C41" t="s">
        <v>155</v>
      </c>
    </row>
    <row r="42" spans="1:3" x14ac:dyDescent="0.3">
      <c r="A42" t="s">
        <v>156</v>
      </c>
      <c r="B42" t="s">
        <v>156</v>
      </c>
      <c r="C42" t="s">
        <v>157</v>
      </c>
    </row>
    <row r="44" spans="1:3" x14ac:dyDescent="0.3">
      <c r="A44" s="18" t="s">
        <v>158</v>
      </c>
      <c r="B44" s="18"/>
    </row>
    <row r="45" spans="1:3" x14ac:dyDescent="0.3">
      <c r="A45" t="s">
        <v>159</v>
      </c>
      <c r="B45" t="s">
        <v>160</v>
      </c>
      <c r="C45" t="s">
        <v>161</v>
      </c>
    </row>
    <row r="46" spans="1:3" x14ac:dyDescent="0.3">
      <c r="A46" t="s">
        <v>162</v>
      </c>
      <c r="B46" t="s">
        <v>163</v>
      </c>
      <c r="C46" t="s">
        <v>164</v>
      </c>
    </row>
    <row r="47" spans="1:3" x14ac:dyDescent="0.3">
      <c r="A47" t="s">
        <v>165</v>
      </c>
      <c r="B47" t="s">
        <v>166</v>
      </c>
      <c r="C47" t="s">
        <v>167</v>
      </c>
    </row>
    <row r="48" spans="1:3" x14ac:dyDescent="0.3">
      <c r="A48" t="s">
        <v>168</v>
      </c>
      <c r="B48" t="s">
        <v>169</v>
      </c>
      <c r="C48" t="s">
        <v>170</v>
      </c>
    </row>
    <row r="49" spans="1:3" x14ac:dyDescent="0.3">
      <c r="A49" t="s">
        <v>171</v>
      </c>
      <c r="B49" t="s">
        <v>172</v>
      </c>
      <c r="C49" t="s">
        <v>173</v>
      </c>
    </row>
    <row r="50" spans="1:3" x14ac:dyDescent="0.3">
      <c r="A50" t="s">
        <v>174</v>
      </c>
      <c r="B50" t="s">
        <v>174</v>
      </c>
      <c r="C50" t="s">
        <v>175</v>
      </c>
    </row>
    <row r="51" spans="1:3" x14ac:dyDescent="0.3">
      <c r="A51" t="s">
        <v>176</v>
      </c>
      <c r="B51" t="s">
        <v>177</v>
      </c>
      <c r="C51" t="s">
        <v>178</v>
      </c>
    </row>
    <row r="52" spans="1:3" x14ac:dyDescent="0.3">
      <c r="A52" t="s">
        <v>73</v>
      </c>
      <c r="B52" t="s">
        <v>179</v>
      </c>
      <c r="C52" t="s">
        <v>180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64"/>
  <sheetViews>
    <sheetView topLeftCell="A49" zoomScaleNormal="100" workbookViewId="0">
      <selection activeCell="A76" sqref="A76"/>
    </sheetView>
  </sheetViews>
  <sheetFormatPr baseColWidth="10" defaultColWidth="8.5546875" defaultRowHeight="14.4" x14ac:dyDescent="0.3"/>
  <cols>
    <col min="1" max="1" width="15.33203125" customWidth="1"/>
    <col min="2" max="2" width="14.6640625" customWidth="1"/>
    <col min="3" max="3" width="26" customWidth="1"/>
    <col min="4" max="4" width="44.21875" customWidth="1"/>
    <col min="5" max="13" width="26" customWidth="1"/>
    <col min="14" max="14" width="46.77734375" customWidth="1"/>
    <col min="15" max="16" width="26" customWidth="1"/>
  </cols>
  <sheetData>
    <row r="2" spans="1:16" x14ac:dyDescent="0.3">
      <c r="C2" s="32" t="s">
        <v>12</v>
      </c>
      <c r="D2" s="32" t="s">
        <v>181</v>
      </c>
      <c r="E2" s="32" t="s">
        <v>182</v>
      </c>
      <c r="F2" s="32" t="s">
        <v>183</v>
      </c>
      <c r="G2" s="32" t="s">
        <v>16</v>
      </c>
      <c r="H2" s="32" t="s">
        <v>184</v>
      </c>
      <c r="I2" s="32" t="s">
        <v>18</v>
      </c>
      <c r="J2" s="32" t="s">
        <v>12</v>
      </c>
    </row>
    <row r="4" spans="1:16" ht="16.2" customHeight="1" x14ac:dyDescent="0.3">
      <c r="C4" s="13" t="s">
        <v>185</v>
      </c>
      <c r="D4" s="13"/>
    </row>
    <row r="5" spans="1:16" ht="13.8" customHeight="1" x14ac:dyDescent="0.3">
      <c r="B5" s="12">
        <v>1</v>
      </c>
      <c r="C5" s="11" t="s">
        <v>186</v>
      </c>
      <c r="D5" s="11" t="s">
        <v>187</v>
      </c>
      <c r="E5" s="11" t="s">
        <v>25</v>
      </c>
      <c r="F5" s="11" t="s">
        <v>188</v>
      </c>
      <c r="G5" s="11" t="s">
        <v>25</v>
      </c>
      <c r="H5" s="11" t="s">
        <v>189</v>
      </c>
      <c r="I5" s="11" t="s">
        <v>190</v>
      </c>
      <c r="J5" s="11" t="s">
        <v>191</v>
      </c>
    </row>
    <row r="6" spans="1:16" x14ac:dyDescent="0.3">
      <c r="B6" s="12"/>
      <c r="C6" s="11"/>
      <c r="D6" s="11"/>
      <c r="E6" s="11"/>
      <c r="F6" s="11"/>
      <c r="G6" s="11"/>
      <c r="H6" s="11"/>
      <c r="I6" s="11"/>
      <c r="J6" s="11"/>
    </row>
    <row r="7" spans="1:16" x14ac:dyDescent="0.3">
      <c r="B7" s="12"/>
      <c r="C7" s="11"/>
      <c r="D7" s="11"/>
      <c r="E7" s="11"/>
      <c r="F7" s="11"/>
      <c r="G7" s="11"/>
      <c r="H7" s="11"/>
      <c r="I7" s="11"/>
      <c r="J7" s="11"/>
    </row>
    <row r="8" spans="1:16" x14ac:dyDescent="0.3">
      <c r="B8" s="12"/>
      <c r="C8" s="11"/>
      <c r="D8" s="11"/>
      <c r="E8" s="11"/>
      <c r="F8" s="11"/>
      <c r="G8" s="11"/>
      <c r="H8" s="11"/>
      <c r="I8" s="11"/>
      <c r="J8" s="11"/>
      <c r="K8" s="33"/>
      <c r="L8" s="33"/>
      <c r="M8" s="33"/>
      <c r="N8" s="33"/>
      <c r="O8" s="33"/>
    </row>
    <row r="9" spans="1:16" x14ac:dyDescent="0.3">
      <c r="A9" s="34"/>
      <c r="D9" s="28"/>
      <c r="K9" s="35"/>
      <c r="L9" s="35"/>
      <c r="M9" s="35"/>
      <c r="N9" s="35"/>
      <c r="O9" s="35"/>
      <c r="P9" s="36"/>
    </row>
    <row r="10" spans="1:16" ht="13.8" customHeight="1" x14ac:dyDescent="0.3">
      <c r="A10" s="34"/>
      <c r="B10" s="12">
        <v>2</v>
      </c>
      <c r="C10" s="11" t="s">
        <v>192</v>
      </c>
      <c r="D10" s="11" t="s">
        <v>193</v>
      </c>
      <c r="E10" s="11" t="s">
        <v>194</v>
      </c>
      <c r="F10" s="11" t="s">
        <v>195</v>
      </c>
      <c r="G10" s="11" t="s">
        <v>25</v>
      </c>
      <c r="H10" s="11" t="s">
        <v>196</v>
      </c>
      <c r="I10" s="11" t="s">
        <v>190</v>
      </c>
      <c r="J10" s="11" t="s">
        <v>191</v>
      </c>
      <c r="P10" s="36"/>
    </row>
    <row r="11" spans="1:16" x14ac:dyDescent="0.3">
      <c r="A11" s="34"/>
      <c r="B11" s="12"/>
      <c r="C11" s="11"/>
      <c r="D11" s="11"/>
      <c r="E11" s="11"/>
      <c r="F11" s="11"/>
      <c r="G11" s="11"/>
      <c r="H11" s="11"/>
      <c r="I11" s="11"/>
      <c r="J11" s="11"/>
      <c r="P11" s="36"/>
    </row>
    <row r="12" spans="1:16" x14ac:dyDescent="0.3">
      <c r="B12" s="12"/>
      <c r="C12" s="11"/>
      <c r="D12" s="11"/>
      <c r="E12" s="11"/>
      <c r="F12" s="11"/>
      <c r="G12" s="11"/>
      <c r="H12" s="11"/>
      <c r="I12" s="11"/>
      <c r="J12" s="11"/>
    </row>
    <row r="13" spans="1:16" x14ac:dyDescent="0.3">
      <c r="A13" s="36"/>
      <c r="B13" s="12"/>
      <c r="C13" s="11"/>
      <c r="D13" s="11"/>
      <c r="E13" s="11"/>
      <c r="F13" s="11"/>
      <c r="G13" s="11"/>
      <c r="H13" s="11"/>
      <c r="I13" s="11"/>
      <c r="J13" s="11"/>
      <c r="K13" s="35"/>
      <c r="L13" s="35"/>
      <c r="M13" s="35"/>
      <c r="N13" s="36"/>
      <c r="O13" s="37"/>
    </row>
    <row r="14" spans="1:16" x14ac:dyDescent="0.3">
      <c r="D14" s="28"/>
      <c r="J14" s="38"/>
    </row>
    <row r="15" spans="1:16" ht="13.8" customHeight="1" x14ac:dyDescent="0.3">
      <c r="A15" s="36"/>
      <c r="B15" s="12">
        <v>3</v>
      </c>
      <c r="C15" s="10" t="s">
        <v>197</v>
      </c>
      <c r="D15" s="9" t="s">
        <v>198</v>
      </c>
      <c r="E15" s="9" t="s">
        <v>199</v>
      </c>
      <c r="F15" s="9" t="s">
        <v>198</v>
      </c>
      <c r="G15" s="9" t="s">
        <v>200</v>
      </c>
      <c r="H15" s="8" t="s">
        <v>201</v>
      </c>
      <c r="I15" s="9" t="s">
        <v>190</v>
      </c>
      <c r="J15" s="9" t="s">
        <v>191</v>
      </c>
      <c r="K15" s="35"/>
      <c r="L15" s="35"/>
      <c r="O15" s="35"/>
    </row>
    <row r="16" spans="1:16" x14ac:dyDescent="0.3">
      <c r="B16" s="12"/>
      <c r="C16" s="10"/>
      <c r="D16" s="9"/>
      <c r="E16" s="9"/>
      <c r="F16" s="9"/>
      <c r="G16" s="9"/>
      <c r="H16" s="8"/>
      <c r="I16" s="8"/>
      <c r="J16" s="8"/>
    </row>
    <row r="17" spans="1:10" x14ac:dyDescent="0.3">
      <c r="B17" s="12"/>
      <c r="C17" s="10"/>
      <c r="D17" s="9"/>
      <c r="E17" s="9"/>
      <c r="F17" s="9"/>
      <c r="G17" s="9"/>
      <c r="H17" s="8"/>
      <c r="I17" s="8"/>
      <c r="J17" s="8"/>
    </row>
    <row r="18" spans="1:10" x14ac:dyDescent="0.3">
      <c r="A18" s="39"/>
      <c r="B18" s="12"/>
      <c r="C18" s="10"/>
      <c r="D18" s="9"/>
      <c r="E18" s="9"/>
      <c r="F18" s="9"/>
      <c r="G18" s="9"/>
      <c r="H18" s="8"/>
      <c r="I18" s="8"/>
      <c r="J18" s="8"/>
    </row>
    <row r="20" spans="1:10" ht="13.8" customHeight="1" x14ac:dyDescent="0.3">
      <c r="B20" s="12">
        <v>4</v>
      </c>
      <c r="C20" s="10" t="s">
        <v>202</v>
      </c>
      <c r="D20" s="9" t="s">
        <v>203</v>
      </c>
      <c r="E20" s="9" t="s">
        <v>204</v>
      </c>
      <c r="F20" s="9" t="s">
        <v>198</v>
      </c>
      <c r="G20" s="9" t="s">
        <v>205</v>
      </c>
      <c r="H20" s="8" t="s">
        <v>201</v>
      </c>
      <c r="I20" s="9" t="s">
        <v>190</v>
      </c>
      <c r="J20" s="9" t="s">
        <v>191</v>
      </c>
    </row>
    <row r="21" spans="1:10" x14ac:dyDescent="0.3">
      <c r="B21" s="12"/>
      <c r="C21" s="10"/>
      <c r="D21" s="9"/>
      <c r="E21" s="9"/>
      <c r="F21" s="9"/>
      <c r="G21" s="9"/>
      <c r="H21" s="9"/>
      <c r="I21" s="9"/>
      <c r="J21" s="9"/>
    </row>
    <row r="22" spans="1:10" x14ac:dyDescent="0.3">
      <c r="B22" s="12"/>
      <c r="C22" s="10"/>
      <c r="D22" s="9"/>
      <c r="E22" s="9"/>
      <c r="F22" s="9"/>
      <c r="G22" s="9"/>
      <c r="H22" s="9"/>
      <c r="I22" s="9"/>
      <c r="J22" s="9"/>
    </row>
    <row r="23" spans="1:10" x14ac:dyDescent="0.3">
      <c r="B23" s="12"/>
      <c r="C23" s="10"/>
      <c r="D23" s="9"/>
      <c r="E23" s="9"/>
      <c r="F23" s="9"/>
      <c r="G23" s="9"/>
      <c r="H23" s="9"/>
      <c r="I23" s="9"/>
      <c r="J23" s="9"/>
    </row>
    <row r="25" spans="1:10" ht="13.8" customHeight="1" x14ac:dyDescent="0.3">
      <c r="B25" s="12">
        <v>5</v>
      </c>
      <c r="C25" s="7" t="s">
        <v>206</v>
      </c>
      <c r="D25" s="6" t="s">
        <v>207</v>
      </c>
      <c r="E25" s="6" t="s">
        <v>198</v>
      </c>
      <c r="F25" s="6" t="s">
        <v>200</v>
      </c>
      <c r="G25" s="6" t="s">
        <v>198</v>
      </c>
      <c r="H25" s="5" t="s">
        <v>201</v>
      </c>
      <c r="I25" s="6" t="s">
        <v>190</v>
      </c>
      <c r="J25" s="6" t="s">
        <v>191</v>
      </c>
    </row>
    <row r="26" spans="1:10" x14ac:dyDescent="0.3">
      <c r="B26" s="12"/>
      <c r="C26" s="7"/>
      <c r="D26" s="6"/>
      <c r="E26" s="6"/>
      <c r="F26" s="6"/>
      <c r="G26" s="6"/>
      <c r="H26" s="5"/>
      <c r="I26" s="5"/>
      <c r="J26" s="6"/>
    </row>
    <row r="27" spans="1:10" x14ac:dyDescent="0.3">
      <c r="B27" s="12"/>
      <c r="C27" s="7"/>
      <c r="D27" s="6"/>
      <c r="E27" s="6"/>
      <c r="F27" s="6"/>
      <c r="G27" s="6"/>
      <c r="H27" s="5"/>
      <c r="I27" s="5"/>
      <c r="J27" s="6"/>
    </row>
    <row r="28" spans="1:10" x14ac:dyDescent="0.3">
      <c r="B28" s="12"/>
      <c r="C28" s="7"/>
      <c r="D28" s="6"/>
      <c r="E28" s="6"/>
      <c r="F28" s="6"/>
      <c r="G28" s="6"/>
      <c r="H28" s="5"/>
      <c r="I28" s="5"/>
      <c r="J28" s="6"/>
    </row>
    <row r="31" spans="1:10" ht="16.2" customHeight="1" x14ac:dyDescent="0.3">
      <c r="C31" s="4" t="s">
        <v>208</v>
      </c>
      <c r="D31" s="4"/>
    </row>
    <row r="32" spans="1:10" ht="15.75" customHeight="1" x14ac:dyDescent="0.3">
      <c r="B32" s="12">
        <v>6</v>
      </c>
      <c r="C32" s="3" t="s">
        <v>202</v>
      </c>
      <c r="D32" s="40" t="s">
        <v>209</v>
      </c>
      <c r="E32" s="41"/>
      <c r="F32" s="41"/>
      <c r="G32" s="2" t="s">
        <v>203</v>
      </c>
      <c r="H32" s="1" t="s">
        <v>201</v>
      </c>
      <c r="I32" s="2" t="s">
        <v>190</v>
      </c>
      <c r="J32" s="2" t="s">
        <v>210</v>
      </c>
    </row>
    <row r="33" spans="2:10" x14ac:dyDescent="0.3">
      <c r="B33" s="12"/>
      <c r="C33" s="3"/>
      <c r="D33" s="42" t="s">
        <v>211</v>
      </c>
      <c r="E33" s="42" t="s">
        <v>198</v>
      </c>
      <c r="F33" s="42" t="s">
        <v>212</v>
      </c>
      <c r="G33" s="2"/>
      <c r="H33" s="2"/>
      <c r="I33" s="2"/>
      <c r="J33" s="2"/>
    </row>
    <row r="34" spans="2:10" x14ac:dyDescent="0.3">
      <c r="B34" s="12"/>
      <c r="C34" s="3"/>
      <c r="D34" s="42" t="s">
        <v>213</v>
      </c>
      <c r="E34" s="43"/>
      <c r="F34" s="43"/>
      <c r="G34" s="2"/>
      <c r="H34" s="2"/>
      <c r="I34" s="2"/>
      <c r="J34" s="2"/>
    </row>
    <row r="35" spans="2:10" x14ac:dyDescent="0.3">
      <c r="B35" s="12"/>
      <c r="C35" s="3"/>
      <c r="D35" s="42" t="s">
        <v>214</v>
      </c>
      <c r="E35" s="43"/>
      <c r="F35" s="43"/>
      <c r="G35" s="2"/>
      <c r="H35" s="2"/>
      <c r="I35" s="2"/>
      <c r="J35" s="2"/>
    </row>
    <row r="36" spans="2:10" x14ac:dyDescent="0.3">
      <c r="B36" s="12"/>
      <c r="C36" s="3"/>
      <c r="D36" s="44" t="s">
        <v>215</v>
      </c>
      <c r="E36" s="45"/>
      <c r="F36" s="45"/>
      <c r="G36" s="2"/>
      <c r="H36" s="2"/>
      <c r="I36" s="2"/>
      <c r="J36" s="2"/>
    </row>
    <row r="38" spans="2:10" ht="15.75" customHeight="1" x14ac:dyDescent="0.3">
      <c r="B38" s="12">
        <v>7</v>
      </c>
      <c r="C38" s="48" t="s">
        <v>206</v>
      </c>
      <c r="D38" s="46" t="s">
        <v>209</v>
      </c>
      <c r="E38" s="49" t="s">
        <v>198</v>
      </c>
      <c r="F38" s="49" t="s">
        <v>200</v>
      </c>
      <c r="G38" s="49" t="s">
        <v>205</v>
      </c>
      <c r="H38" s="51" t="s">
        <v>201</v>
      </c>
      <c r="I38" s="49" t="s">
        <v>190</v>
      </c>
      <c r="J38" s="49" t="s">
        <v>216</v>
      </c>
    </row>
    <row r="39" spans="2:10" x14ac:dyDescent="0.3">
      <c r="B39" s="12"/>
      <c r="C39" s="48"/>
      <c r="D39" s="47" t="s">
        <v>217</v>
      </c>
      <c r="E39" s="49"/>
      <c r="F39" s="49"/>
      <c r="G39" s="49"/>
      <c r="H39" s="49"/>
      <c r="I39" s="49"/>
      <c r="J39" s="49"/>
    </row>
    <row r="40" spans="2:10" x14ac:dyDescent="0.3">
      <c r="B40" s="12"/>
      <c r="C40" s="48"/>
      <c r="D40" s="47" t="s">
        <v>218</v>
      </c>
      <c r="E40" s="49"/>
      <c r="F40" s="49"/>
      <c r="G40" s="49"/>
      <c r="H40" s="49"/>
      <c r="I40" s="49"/>
      <c r="J40" s="49"/>
    </row>
    <row r="41" spans="2:10" ht="13.8" customHeight="1" x14ac:dyDescent="0.3">
      <c r="B41" s="12"/>
      <c r="C41" s="48"/>
      <c r="D41" s="50" t="s">
        <v>215</v>
      </c>
      <c r="E41" s="49"/>
      <c r="F41" s="49"/>
      <c r="G41" s="49"/>
      <c r="H41" s="49"/>
      <c r="I41" s="49"/>
      <c r="J41" s="49"/>
    </row>
    <row r="42" spans="2:10" x14ac:dyDescent="0.3">
      <c r="B42" s="12"/>
      <c r="C42" s="48"/>
      <c r="D42" s="50"/>
      <c r="E42" s="50"/>
      <c r="F42" s="50"/>
      <c r="G42" s="50"/>
      <c r="H42" s="50"/>
      <c r="I42" s="50"/>
      <c r="J42" s="50"/>
    </row>
    <row r="44" spans="2:10" ht="16.2" customHeight="1" x14ac:dyDescent="0.3">
      <c r="C44" s="52" t="s">
        <v>219</v>
      </c>
      <c r="D44" s="52"/>
    </row>
    <row r="45" spans="2:10" ht="13.8" customHeight="1" x14ac:dyDescent="0.3">
      <c r="B45" s="12">
        <v>8</v>
      </c>
      <c r="C45" s="53" t="s">
        <v>220</v>
      </c>
      <c r="D45" s="53" t="s">
        <v>221</v>
      </c>
      <c r="E45" s="53" t="s">
        <v>220</v>
      </c>
      <c r="F45" s="53" t="s">
        <v>198</v>
      </c>
      <c r="G45" s="53" t="s">
        <v>222</v>
      </c>
      <c r="H45" s="54" t="s">
        <v>223</v>
      </c>
      <c r="I45" s="53" t="s">
        <v>25</v>
      </c>
      <c r="J45" s="55" t="s">
        <v>224</v>
      </c>
    </row>
    <row r="46" spans="2:10" x14ac:dyDescent="0.3">
      <c r="B46" s="12"/>
      <c r="C46" s="53"/>
      <c r="D46" s="53"/>
      <c r="E46" s="53"/>
      <c r="F46" s="53"/>
      <c r="G46" s="53"/>
      <c r="H46" s="54"/>
      <c r="I46" s="54"/>
      <c r="J46" s="55"/>
    </row>
    <row r="47" spans="2:10" x14ac:dyDescent="0.3">
      <c r="B47" s="12"/>
      <c r="C47" s="53"/>
      <c r="D47" s="53"/>
      <c r="E47" s="53"/>
      <c r="F47" s="53"/>
      <c r="G47" s="53"/>
      <c r="H47" s="54"/>
      <c r="I47" s="54"/>
      <c r="J47" s="55"/>
    </row>
    <row r="48" spans="2:10" x14ac:dyDescent="0.3">
      <c r="B48" s="12"/>
      <c r="C48" s="53"/>
      <c r="D48" s="53"/>
      <c r="E48" s="53"/>
      <c r="F48" s="53"/>
      <c r="G48" s="53"/>
      <c r="H48" s="54"/>
      <c r="I48" s="54"/>
      <c r="J48" s="55"/>
    </row>
    <row r="50" spans="2:10" ht="13.8" customHeight="1" x14ac:dyDescent="0.3">
      <c r="B50" s="12">
        <v>9</v>
      </c>
      <c r="C50" s="53" t="s">
        <v>225</v>
      </c>
      <c r="D50" s="53" t="s">
        <v>226</v>
      </c>
      <c r="E50" s="53" t="s">
        <v>227</v>
      </c>
      <c r="F50" s="53" t="s">
        <v>228</v>
      </c>
      <c r="G50" s="53" t="s">
        <v>25</v>
      </c>
      <c r="H50" s="54" t="s">
        <v>229</v>
      </c>
      <c r="I50" s="53" t="s">
        <v>25</v>
      </c>
      <c r="J50" s="55" t="s">
        <v>224</v>
      </c>
    </row>
    <row r="51" spans="2:10" x14ac:dyDescent="0.3">
      <c r="B51" s="12"/>
      <c r="C51" s="53"/>
      <c r="D51" s="53"/>
      <c r="E51" s="53"/>
      <c r="F51" s="53"/>
      <c r="G51" s="53"/>
      <c r="H51" s="54"/>
      <c r="I51" s="54"/>
      <c r="J51" s="55"/>
    </row>
    <row r="52" spans="2:10" x14ac:dyDescent="0.3">
      <c r="B52" s="12"/>
      <c r="C52" s="53"/>
      <c r="D52" s="53"/>
      <c r="E52" s="53"/>
      <c r="F52" s="53"/>
      <c r="G52" s="53"/>
      <c r="H52" s="54"/>
      <c r="I52" s="54"/>
      <c r="J52" s="55"/>
    </row>
    <row r="53" spans="2:10" x14ac:dyDescent="0.3">
      <c r="B53" s="12"/>
      <c r="C53" s="53"/>
      <c r="D53" s="53"/>
      <c r="E53" s="53"/>
      <c r="F53" s="53"/>
      <c r="G53" s="53"/>
      <c r="H53" s="54"/>
      <c r="I53" s="54"/>
      <c r="J53" s="55"/>
    </row>
    <row r="55" spans="2:10" ht="16.2" customHeight="1" x14ac:dyDescent="0.3">
      <c r="C55" s="56" t="s">
        <v>230</v>
      </c>
      <c r="D55" s="56"/>
    </row>
    <row r="56" spans="2:10" ht="15.75" customHeight="1" x14ac:dyDescent="0.3">
      <c r="B56" s="12">
        <v>10</v>
      </c>
      <c r="C56" s="12" t="s">
        <v>231</v>
      </c>
      <c r="D56" s="12" t="s">
        <v>232</v>
      </c>
      <c r="E56" s="12" t="s">
        <v>233</v>
      </c>
      <c r="F56" s="12" t="s">
        <v>234</v>
      </c>
      <c r="G56" s="12" t="s">
        <v>235</v>
      </c>
      <c r="H56" s="12" t="s">
        <v>236</v>
      </c>
      <c r="I56" s="12" t="s">
        <v>237</v>
      </c>
    </row>
    <row r="57" spans="2:10" x14ac:dyDescent="0.3">
      <c r="B57" s="12"/>
      <c r="C57" s="12"/>
      <c r="D57" s="12"/>
      <c r="E57" s="12"/>
      <c r="F57" s="12"/>
      <c r="G57" s="12"/>
      <c r="H57" s="12"/>
      <c r="I57" s="12"/>
    </row>
    <row r="58" spans="2:10" x14ac:dyDescent="0.3">
      <c r="B58" s="12"/>
      <c r="C58" s="12"/>
      <c r="D58" s="12"/>
      <c r="E58" s="12"/>
      <c r="F58" s="12"/>
      <c r="G58" s="12"/>
      <c r="H58" s="12"/>
      <c r="I58" s="12"/>
    </row>
    <row r="59" spans="2:10" x14ac:dyDescent="0.3">
      <c r="B59" s="12"/>
      <c r="C59" s="12"/>
      <c r="D59" s="12"/>
      <c r="E59" s="12"/>
      <c r="F59" s="12"/>
      <c r="G59" s="12"/>
      <c r="H59" s="12"/>
      <c r="I59" s="12"/>
    </row>
    <row r="61" spans="2:10" ht="15.75" customHeight="1" x14ac:dyDescent="0.3">
      <c r="B61" s="12">
        <v>11</v>
      </c>
      <c r="C61" s="12" t="s">
        <v>238</v>
      </c>
      <c r="D61" s="12" t="s">
        <v>239</v>
      </c>
      <c r="E61" s="12" t="s">
        <v>240</v>
      </c>
      <c r="F61" s="12" t="s">
        <v>241</v>
      </c>
      <c r="G61" s="12" t="s">
        <v>25</v>
      </c>
      <c r="H61" s="12" t="s">
        <v>236</v>
      </c>
      <c r="I61" s="12" t="s">
        <v>237</v>
      </c>
    </row>
    <row r="62" spans="2:10" x14ac:dyDescent="0.3">
      <c r="B62" s="12"/>
      <c r="C62" s="12"/>
      <c r="D62" s="12"/>
      <c r="E62" s="12"/>
      <c r="F62" s="12"/>
      <c r="G62" s="12"/>
      <c r="H62" s="12"/>
      <c r="I62" s="12"/>
    </row>
    <row r="63" spans="2:10" x14ac:dyDescent="0.3">
      <c r="B63" s="12"/>
      <c r="C63" s="12"/>
      <c r="D63" s="12"/>
      <c r="E63" s="12"/>
      <c r="F63" s="12"/>
      <c r="G63" s="12"/>
      <c r="H63" s="12"/>
      <c r="I63" s="12"/>
    </row>
    <row r="64" spans="2:10" x14ac:dyDescent="0.3">
      <c r="B64" s="12"/>
      <c r="C64" s="12"/>
      <c r="D64" s="12"/>
      <c r="E64" s="12"/>
      <c r="F64" s="12"/>
      <c r="G64" s="12"/>
      <c r="H64" s="12"/>
      <c r="I64" s="12"/>
    </row>
  </sheetData>
  <mergeCells count="98">
    <mergeCell ref="G56:G59"/>
    <mergeCell ref="H56:H59"/>
    <mergeCell ref="I56:I59"/>
    <mergeCell ref="B61:B64"/>
    <mergeCell ref="C61:C64"/>
    <mergeCell ref="D61:D64"/>
    <mergeCell ref="E61:E64"/>
    <mergeCell ref="F61:F64"/>
    <mergeCell ref="G61:G64"/>
    <mergeCell ref="H61:H64"/>
    <mergeCell ref="I61:I64"/>
    <mergeCell ref="B56:B59"/>
    <mergeCell ref="C56:C59"/>
    <mergeCell ref="D56:D59"/>
    <mergeCell ref="E56:E59"/>
    <mergeCell ref="F56:F59"/>
    <mergeCell ref="G50:G53"/>
    <mergeCell ref="H50:H53"/>
    <mergeCell ref="I50:I53"/>
    <mergeCell ref="J50:J53"/>
    <mergeCell ref="C55:D55"/>
    <mergeCell ref="B50:B53"/>
    <mergeCell ref="C50:C53"/>
    <mergeCell ref="D50:D53"/>
    <mergeCell ref="E50:E53"/>
    <mergeCell ref="F50:F53"/>
    <mergeCell ref="F45:F48"/>
    <mergeCell ref="G45:G48"/>
    <mergeCell ref="H45:H48"/>
    <mergeCell ref="I45:I48"/>
    <mergeCell ref="J45:J48"/>
    <mergeCell ref="C44:D44"/>
    <mergeCell ref="B45:B48"/>
    <mergeCell ref="C45:C48"/>
    <mergeCell ref="D45:D48"/>
    <mergeCell ref="E45:E48"/>
    <mergeCell ref="I32:I36"/>
    <mergeCell ref="J32:J36"/>
    <mergeCell ref="B38:B42"/>
    <mergeCell ref="C38:C42"/>
    <mergeCell ref="E38:E42"/>
    <mergeCell ref="F38:F42"/>
    <mergeCell ref="G38:G42"/>
    <mergeCell ref="H38:H42"/>
    <mergeCell ref="I38:I42"/>
    <mergeCell ref="J38:J42"/>
    <mergeCell ref="D41:D42"/>
    <mergeCell ref="C31:D31"/>
    <mergeCell ref="B32:B36"/>
    <mergeCell ref="C32:C36"/>
    <mergeCell ref="G32:G36"/>
    <mergeCell ref="H32:H36"/>
    <mergeCell ref="G20:G23"/>
    <mergeCell ref="H20:H23"/>
    <mergeCell ref="I20:I23"/>
    <mergeCell ref="J20:J23"/>
    <mergeCell ref="B25:B28"/>
    <mergeCell ref="C25:C28"/>
    <mergeCell ref="D25:D28"/>
    <mergeCell ref="E25:E28"/>
    <mergeCell ref="F25:F28"/>
    <mergeCell ref="G25:G28"/>
    <mergeCell ref="H25:H28"/>
    <mergeCell ref="I25:I28"/>
    <mergeCell ref="J25:J28"/>
    <mergeCell ref="B20:B23"/>
    <mergeCell ref="C20:C23"/>
    <mergeCell ref="D20:D23"/>
    <mergeCell ref="E20:E23"/>
    <mergeCell ref="F20:F23"/>
    <mergeCell ref="G10:G13"/>
    <mergeCell ref="H10:H13"/>
    <mergeCell ref="I10:I13"/>
    <mergeCell ref="J10:J13"/>
    <mergeCell ref="B15:B18"/>
    <mergeCell ref="C15:C18"/>
    <mergeCell ref="D15:D18"/>
    <mergeCell ref="E15:E18"/>
    <mergeCell ref="F15:F18"/>
    <mergeCell ref="G15:G18"/>
    <mergeCell ref="H15:H18"/>
    <mergeCell ref="I15:I18"/>
    <mergeCell ref="J15:J18"/>
    <mergeCell ref="B10:B13"/>
    <mergeCell ref="C10:C13"/>
    <mergeCell ref="D10:D13"/>
    <mergeCell ref="E10:E13"/>
    <mergeCell ref="F10:F13"/>
    <mergeCell ref="F5:F8"/>
    <mergeCell ref="G5:G8"/>
    <mergeCell ref="H5:H8"/>
    <mergeCell ref="I5:I8"/>
    <mergeCell ref="J5:J8"/>
    <mergeCell ref="C4:D4"/>
    <mergeCell ref="B5:B8"/>
    <mergeCell ref="C5:C8"/>
    <mergeCell ref="D5:D8"/>
    <mergeCell ref="E5:E8"/>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140" zoomScaleNormal="140" workbookViewId="0">
      <selection activeCell="H7" sqref="H7"/>
    </sheetView>
  </sheetViews>
  <sheetFormatPr baseColWidth="10" defaultColWidth="8.5546875" defaultRowHeight="14.4" x14ac:dyDescent="0.3"/>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8" zoomScaleNormal="100" workbookViewId="0">
      <selection activeCell="J11" sqref="J11"/>
    </sheetView>
  </sheetViews>
  <sheetFormatPr baseColWidth="10" defaultColWidth="8.5546875" defaultRowHeight="14.4" x14ac:dyDescent="0.3"/>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1803</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ENTRENAMIENTO</vt:lpstr>
      <vt:lpstr>REFERENCIAS</vt:lpstr>
      <vt:lpstr>DESCARGAS</vt:lpstr>
      <vt:lpstr>TABLAS DE TIEMPO</vt:lpstr>
      <vt:lpstr>TABLAS DE EQUIVALENCIAS DE DIVE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Berta Luciana Ferreiro</cp:lastModifiedBy>
  <cp:revision>67</cp:revision>
  <dcterms:created xsi:type="dcterms:W3CDTF">2021-04-12T01:56:43Z</dcterms:created>
  <dcterms:modified xsi:type="dcterms:W3CDTF">2026-06-25T03:15:46Z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